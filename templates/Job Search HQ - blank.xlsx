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ipeline" sheetId="2" state="visible" r:id="rId2"/>
    <sheet name="Recruiters" sheetId="3" state="visible" r:id="rId3"/>
    <sheet name="Inbox Log" sheetId="4" state="visible" r:id="rId4"/>
    <sheet name="Job Leads" sheetId="5" state="visible" r:id="rId5"/>
    <sheet name="Templates" sheetId="6" state="visible" r:id="rId6"/>
    <sheet name="Lists" sheetId="7" state="visible" r:id="rId7"/>
  </sheets>
  <definedNames>
    <definedName name="_xlnm._FilterDatabase" localSheetId="1" hidden="1">'Pipeline'!$A$1:$U$1000</definedName>
    <definedName name="_xlnm._FilterDatabase" localSheetId="2" hidden="1">'Recruiters'!$A$1:$N$1000</definedName>
    <definedName name="_xlnm._FilterDatabase" localSheetId="3" hidden="1">'Inbox Log'!$A$1:$L$2</definedName>
    <definedName name="_xlnm._FilterDatabase" localSheetId="4" hidden="1">'Job Leads'!$A$1:$M$1000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864"/>
      <sz val="16"/>
    </font>
    <font>
      <i val="1"/>
      <color rgb="00808080"/>
    </font>
    <font>
      <b val="1"/>
      <color rgb="001F3864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ont>
        <color rgb="00808080"/>
      </font>
    </dxf>
    <dxf>
      <font>
        <strike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90" customWidth="1" min="3" max="3"/>
  </cols>
  <sheetData>
    <row r="1">
      <c r="A1" s="1" t="inlineStr">
        <is>
          <t>Damian - Job Search HQ</t>
        </is>
      </c>
    </row>
    <row r="2">
      <c r="A2" s="2" t="inlineStr">
        <is>
          <t>Built 2026-09-26. Counts below update live; the action list is a snapshot.</t>
        </is>
      </c>
    </row>
    <row r="4">
      <c r="A4" s="3" t="inlineStr">
        <is>
          <t>Pipeline right now</t>
        </is>
      </c>
    </row>
    <row r="5">
      <c r="A5" t="inlineStr">
        <is>
          <t>Reply owed by ME</t>
        </is>
      </c>
      <c r="B5" s="4">
        <f>COUNTIF(Pipeline!B:B,"2 Reply owed (me)")</f>
        <v/>
      </c>
    </row>
    <row r="6">
      <c r="A6" t="inlineStr">
        <is>
          <t>Waiting on recruiter</t>
        </is>
      </c>
      <c r="B6" s="4">
        <f>COUNTIF(Pipeline!B:B,"3 Waiting on recruiter")</f>
        <v/>
      </c>
    </row>
    <row r="7">
      <c r="A7" t="inlineStr">
        <is>
          <t>Submitted / RTR</t>
        </is>
      </c>
      <c r="B7" s="4">
        <f>COUNTIF(Pipeline!B:B,"4 Submitted / RTR")</f>
        <v/>
      </c>
    </row>
    <row r="8">
      <c r="A8" t="inlineStr">
        <is>
          <t>Interviewing</t>
        </is>
      </c>
      <c r="B8" s="4">
        <f>COUNTIF(Pipeline!B:B,"5 Interviewing")</f>
        <v/>
      </c>
    </row>
    <row r="9">
      <c r="A9" t="inlineStr">
        <is>
          <t>Offers</t>
        </is>
      </c>
      <c r="B9" s="4">
        <f>COUNTIF(Pipeline!B:B,"6 Offer")</f>
        <v/>
      </c>
    </row>
    <row r="10">
      <c r="A10" t="inlineStr">
        <is>
          <t>OVERDUE next actions</t>
        </is>
      </c>
      <c r="B10" s="4">
        <f>COUNTIFS(Pipeline!S:S,"&lt;"&amp;TODAY(),Pipeline!B:B,"&lt;&gt;Closed*")</f>
        <v/>
      </c>
    </row>
    <row r="11">
      <c r="A11" t="inlineStr">
        <is>
          <t>Recruiters due a nurture touch</t>
        </is>
      </c>
      <c r="B11" s="4">
        <f>COUNTIFS(Recruiters!L:L,"&lt;="&amp;TODAY(),Recruiters!L:L,"&lt;&gt;")</f>
        <v/>
      </c>
    </row>
    <row r="12">
      <c r="A12" t="inlineStr">
        <is>
          <t>A-tier recruiters</t>
        </is>
      </c>
      <c r="B12" s="4">
        <f>COUNTIF(Recruiters!C:C,"A")</f>
        <v/>
      </c>
    </row>
    <row r="13">
      <c r="A13" t="inlineStr">
        <is>
          <t>Messages logged (all time)</t>
        </is>
      </c>
      <c r="B13" s="4">
        <f>COUNTA('Inbox Log'!A:A)-1</f>
        <v/>
      </c>
    </row>
    <row r="15">
      <c r="A15" s="3" t="inlineStr">
        <is>
          <t>Do these first (2026-09-26)</t>
        </is>
      </c>
    </row>
    <row r="17">
      <c r="A17" s="3" t="inlineStr">
        <is>
          <t>How this workbook works</t>
        </is>
      </c>
    </row>
    <row r="18">
      <c r="A18" s="5" t="inlineStr">
        <is>
          <t>Pipeline</t>
        </is>
      </c>
      <c r="C18" s="6" t="inlineStr">
        <is>
          <t>One row per live opportunity. Only this tab drives your day. Keep Stage, Next action and Due filled in on every open row.</t>
        </is>
      </c>
    </row>
    <row r="19">
      <c r="A19" s="5" t="inlineStr">
        <is>
          <t>Recruiters</t>
        </is>
      </c>
      <c r="C19" s="6" t="inlineStr">
        <is>
          <t>One row per recruiter. Tier A = placed or submitted you, or a specialist in your field; B = pitches your target roles; C = off-target; DNC = never reply. Next nurture = A every 6 weeks, B every 90 days.</t>
        </is>
      </c>
    </row>
    <row r="20">
      <c r="A20" s="5" t="inlineStr">
        <is>
          <t>Inbox Log</t>
        </is>
      </c>
      <c r="C20" s="6" t="inlineStr">
        <is>
          <t>Every recruiter message, including declines. You add to it but never delete from it. It answers 'has this person contacted me before?'.</t>
        </is>
      </c>
    </row>
    <row r="21">
      <c r="A21" s="5" t="inlineStr">
        <is>
          <t>Job Leads</t>
        </is>
      </c>
      <c r="C21" s="6" t="inlineStr">
        <is>
          <t>Postings you found yourself (HiringCafe/Jobright sweeps). When you act on one, add it to Pipeline.</t>
        </is>
      </c>
    </row>
    <row r="22">
      <c r="A22" s="5" t="inlineStr">
        <is>
          <t>Templates</t>
        </is>
      </c>
      <c r="C22" s="6" t="inlineStr">
        <is>
          <t>Reply templates, so a reply takes 2 minutes instead of sitting as a draft for 3 weeks.</t>
        </is>
      </c>
    </row>
    <row r="24">
      <c r="A24" s="3" t="inlineStr">
        <is>
          <t>Rules</t>
        </is>
      </c>
    </row>
    <row r="25">
      <c r="A25" t="inlineStr">
        <is>
          <t>-</t>
        </is>
      </c>
      <c r="C25" s="6" t="inlineStr">
        <is>
          <t>Reply to any recruiter within 1 business day, even if it's a decline. A draft that sits more than 24h goes to the top of the list.</t>
        </is>
      </c>
    </row>
    <row r="26">
      <c r="A26" t="inlineStr">
        <is>
          <t>-</t>
        </is>
      </c>
      <c r="C26" s="6" t="inlineStr">
        <is>
          <t>Remote only. Floor is $85K (= $41/hr W2). No Enbridge. These are the three auto-declines, so use the Templates tab.</t>
        </is>
      </c>
    </row>
    <row r="27">
      <c r="A27" t="inlineStr">
        <is>
          <t>-</t>
        </is>
      </c>
      <c r="C27" s="6" t="inlineStr">
        <is>
          <t>One agency per requisition. Before you sign an RTR, search Pipeline for the same role title and client. Being submitted twice gets you disqualified.</t>
        </is>
      </c>
    </row>
    <row r="28">
      <c r="A28" t="inlineStr">
        <is>
          <t>-</t>
        </is>
      </c>
      <c r="C28" s="6" t="inlineStr">
        <is>
          <t>After you send a resume or sign an RTR: nudge once after 5 business days, a second time at 10, then mark Closed - Went cold.</t>
        </is>
      </c>
    </row>
    <row r="29">
      <c r="A29" t="inlineStr">
        <is>
          <t>-</t>
        </is>
      </c>
      <c r="C29" s="6" t="inlineStr">
        <is>
          <t>After an interview: thank-you the same day, and nudge the recruiter at day 7.</t>
        </is>
      </c>
    </row>
    <row r="30">
      <c r="A30" t="inlineStr">
        <is>
          <t>-</t>
        </is>
      </c>
      <c r="C30" s="6" t="inlineStr">
        <is>
          <t>Every open Pipeline row needs a Due date. Red rows are overdue and are what you work first.</t>
        </is>
      </c>
    </row>
    <row r="31">
      <c r="A31" t="inlineStr">
        <is>
          <t>-</t>
        </is>
      </c>
      <c r="C31" s="6" t="inlineStr">
        <is>
          <t>A-tier recruiters get a short 'still looking: remote contracts/procurement, $85K+' note every 6 weeks, even when nothing is live.</t>
        </is>
      </c>
    </row>
    <row r="32">
      <c r="A32" t="inlineStr">
        <is>
          <t>-</t>
        </is>
      </c>
      <c r="C32" s="6" t="inlineStr">
        <is>
          <t>Friday, 20 minutes: clear red rows, move anything idle 14+ days forward or to Closed, and send nurture notes where Next nurture is due.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28" customWidth="1" min="4" max="4"/>
    <col width="34" customWidth="1" min="5" max="5"/>
    <col width="22" customWidth="1" min="6" max="6"/>
    <col width="20" customWidth="1" min="7" max="7"/>
    <col width="14" customWidth="1" min="8" max="8"/>
    <col width="22" customWidth="1" min="9" max="9"/>
    <col width="10" customWidth="1" min="10" max="10"/>
    <col width="10" customWidth="1" min="11" max="11"/>
    <col width="13" customWidth="1" min="12" max="12"/>
    <col width="11" customWidth="1" min="13" max="13"/>
    <col width="10" customWidth="1" min="14" max="14"/>
    <col width="12" customWidth="1" min="15" max="15"/>
    <col width="12" customWidth="1" min="16" max="16"/>
    <col width="9" customWidth="1" min="17" max="17"/>
    <col width="60" customWidth="1" min="18" max="18"/>
    <col width="12" customWidth="1" min="19" max="19"/>
    <col width="30" customWidth="1" min="20" max="20"/>
    <col width="45" customWidth="1" min="21" max="21"/>
  </cols>
  <sheetData>
    <row r="1" ht="30" customHeight="1">
      <c r="A1" s="7" t="inlineStr">
        <is>
          <t>ID</t>
        </is>
      </c>
      <c r="B1" s="7" t="inlineStr">
        <is>
          <t>Stage</t>
        </is>
      </c>
      <c r="C1" s="7" t="inlineStr">
        <is>
          <t>Priority</t>
        </is>
      </c>
      <c r="D1" s="7" t="inlineStr">
        <is>
          <t>Company / end client</t>
        </is>
      </c>
      <c r="E1" s="7" t="inlineStr">
        <is>
          <t>Role</t>
        </is>
      </c>
      <c r="F1" s="7" t="inlineStr">
        <is>
          <t>Recruiter</t>
        </is>
      </c>
      <c r="G1" s="7" t="inlineStr">
        <is>
          <t>Agency</t>
        </is>
      </c>
      <c r="H1" s="7" t="inlineStr">
        <is>
          <t>Work model</t>
        </is>
      </c>
      <c r="I1" s="7" t="inlineStr">
        <is>
          <t>Pay (as stated)</t>
        </is>
      </c>
      <c r="J1" s="7" t="inlineStr">
        <is>
          <t>Pay type</t>
        </is>
      </c>
      <c r="K1" s="7" t="inlineStr">
        <is>
          <t>Rate or base</t>
        </is>
      </c>
      <c r="L1" s="7" t="inlineStr">
        <is>
          <t>Annualized $</t>
        </is>
      </c>
      <c r="M1" s="7" t="inlineStr">
        <is>
          <t>Meets $85K?</t>
        </is>
      </c>
      <c r="N1" s="7" t="inlineStr">
        <is>
          <t>Source</t>
        </is>
      </c>
      <c r="O1" s="7" t="inlineStr">
        <is>
          <t>First contact</t>
        </is>
      </c>
      <c r="P1" s="7" t="inlineStr">
        <is>
          <t>Last touch</t>
        </is>
      </c>
      <c r="Q1" s="7" t="inlineStr">
        <is>
          <t>Days idle</t>
        </is>
      </c>
      <c r="R1" s="7" t="inlineStr">
        <is>
          <t>Next action</t>
        </is>
      </c>
      <c r="S1" s="7" t="inlineStr">
        <is>
          <t>Due</t>
        </is>
      </c>
      <c r="T1" s="7" t="inlineStr">
        <is>
          <t>Contact email</t>
        </is>
      </c>
      <c r="U1" s="7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8" t="n"/>
      <c r="M2" s="6" t="n"/>
      <c r="N2" s="6" t="n"/>
      <c r="O2" s="9" t="n"/>
      <c r="P2" s="9" t="n"/>
      <c r="Q2" s="6" t="n"/>
      <c r="R2" s="6" t="n"/>
      <c r="S2" s="9" t="n"/>
      <c r="T2" s="6" t="n"/>
      <c r="U2" s="6" t="n"/>
    </row>
  </sheetData>
  <autoFilter ref="A1:U1000"/>
  <conditionalFormatting sqref="A2:U1000">
    <cfRule type="expression" priority="1" dxfId="0">
      <formula>AND($S2&lt;&gt;"",$S2&lt;TODAY(),LEFT($B2,6)&lt;&gt;"Closed")</formula>
    </cfRule>
    <cfRule type="expression" priority="2" dxfId="1">
      <formula>AND($C2="Hot",LEFT($B2,6)&lt;&gt;"Closed")</formula>
    </cfRule>
    <cfRule type="expression" priority="3" dxfId="2">
      <formula>LEFT($B2,6)="Closed"</formula>
    </cfRule>
  </conditionalFormatting>
  <dataValidations count="4">
    <dataValidation sqref="B2:B1000" showDropDown="0" showInputMessage="0" showErrorMessage="0" allowBlank="1" type="list">
      <formula1>Lists!$A$2:$A$14</formula1>
    </dataValidation>
    <dataValidation sqref="C2:C1000" showDropDown="0" showInputMessage="0" showErrorMessage="0" allowBlank="1" type="list">
      <formula1>Lists!$B$2:$B$4</formula1>
    </dataValidation>
    <dataValidation sqref="J2:J1000" showDropDown="0" showInputMessage="0" showErrorMessage="0" allowBlank="1" type="list">
      <formula1>Lists!$D$2:$D$5</formula1>
    </dataValidation>
    <dataValidation sqref="N2:N1000" showDropDown="0" showInputMessage="0" showErrorMessage="0" allowBlank="1" type="list">
      <formula1>Lists!$E$2:$E$6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6" customWidth="1" min="3" max="3"/>
    <col width="50" customWidth="1" min="4" max="4"/>
    <col width="30" customWidth="1" min="5" max="5"/>
    <col width="32" customWidth="1" min="6" max="6"/>
    <col width="14" customWidth="1" min="7" max="7"/>
    <col width="30" customWidth="1" min="8" max="8"/>
    <col width="9" customWidth="1" min="9" max="9"/>
    <col width="12" customWidth="1" min="10" max="10"/>
    <col width="12" customWidth="1" min="11" max="11"/>
    <col width="12" customWidth="1" min="12" max="12"/>
    <col width="30" customWidth="1" min="13" max="13"/>
    <col width="45" customWidth="1" min="14" max="14"/>
  </cols>
  <sheetData>
    <row r="1" ht="30" customHeight="1">
      <c r="A1" s="7" t="inlineStr">
        <is>
          <t>Recruiter</t>
        </is>
      </c>
      <c r="B1" s="7" t="inlineStr">
        <is>
          <t>Agency</t>
        </is>
      </c>
      <c r="C1" s="7" t="inlineStr">
        <is>
          <t>Tier</t>
        </is>
      </c>
      <c r="D1" s="7" t="inlineStr">
        <is>
          <t>Roles they pitch</t>
        </is>
      </c>
      <c r="E1" s="7" t="inlineStr">
        <is>
          <t>Clients seen</t>
        </is>
      </c>
      <c r="F1" s="7" t="inlineStr">
        <is>
          <t>Email</t>
        </is>
      </c>
      <c r="G1" s="7" t="inlineStr">
        <is>
          <t>Phone</t>
        </is>
      </c>
      <c r="H1" s="7" t="inlineStr">
        <is>
          <t>LinkedIn</t>
        </is>
      </c>
      <c r="I1" s="7" t="inlineStr">
        <is>
          <t># Pitches</t>
        </is>
      </c>
      <c r="J1" s="7" t="inlineStr">
        <is>
          <t>First contact</t>
        </is>
      </c>
      <c r="K1" s="7" t="inlineStr">
        <is>
          <t>Last contact</t>
        </is>
      </c>
      <c r="L1" s="7" t="inlineStr">
        <is>
          <t>Next nurture</t>
        </is>
      </c>
      <c r="M1" s="7" t="inlineStr">
        <is>
          <t>Last status</t>
        </is>
      </c>
      <c r="N1" s="7" t="inlineStr">
        <is>
          <t>Notes</t>
        </is>
      </c>
    </row>
  </sheetData>
  <autoFilter ref="A1:N1000"/>
  <conditionalFormatting sqref="A2:N1000">
    <cfRule type="expression" priority="1" dxfId="1">
      <formula>AND($L2&lt;&gt;"",$L2&lt;=TODAY())</formula>
    </cfRule>
    <cfRule type="expression" priority="2" dxfId="3">
      <formula>$C2="DNC"</formula>
    </cfRule>
  </conditionalFormatting>
  <dataValidations count="1">
    <dataValidation sqref="C2:C1000" showDropDown="0" showInputMessage="0" showErrorMessage="0" allowBlank="1" type="list">
      <formula1>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24" customWidth="1" min="4" max="4"/>
    <col width="32" customWidth="1" min="5" max="5"/>
    <col width="26" customWidth="1" min="6" max="6"/>
    <col width="30" customWidth="1" min="7" max="7"/>
    <col width="22" customWidth="1" min="8" max="8"/>
    <col width="30" customWidth="1" min="9" max="9"/>
    <col width="60" customWidth="1" min="10" max="10"/>
    <col width="60" customWidth="1" min="11" max="11"/>
    <col width="16" customWidth="1" min="12" max="12"/>
  </cols>
  <sheetData>
    <row r="1" ht="30" customHeight="1">
      <c r="A1" s="7" t="inlineStr">
        <is>
          <t>Date</t>
        </is>
      </c>
      <c r="B1" s="7" t="inlineStr">
        <is>
          <t>Recruiter</t>
        </is>
      </c>
      <c r="C1" s="7" t="inlineStr">
        <is>
          <t>Agency</t>
        </is>
      </c>
      <c r="D1" s="7" t="inlineStr">
        <is>
          <t>End client</t>
        </is>
      </c>
      <c r="E1" s="7" t="inlineStr">
        <is>
          <t>Role pitched</t>
        </is>
      </c>
      <c r="F1" s="7" t="inlineStr">
        <is>
          <t>Location / model</t>
        </is>
      </c>
      <c r="G1" s="7" t="inlineStr">
        <is>
          <t>Email</t>
        </is>
      </c>
      <c r="H1" s="7" t="inlineStr">
        <is>
          <t>Stage (normalized)</t>
        </is>
      </c>
      <c r="I1" s="7" t="inlineStr">
        <is>
          <t>Original status</t>
        </is>
      </c>
      <c r="J1" s="7" t="inlineStr">
        <is>
          <t>Summary</t>
        </is>
      </c>
      <c r="K1" s="7" t="inlineStr">
        <is>
          <t>Notes</t>
        </is>
      </c>
      <c r="L1" s="7" t="inlineStr">
        <is>
          <t>Origin</t>
        </is>
      </c>
    </row>
  </sheetData>
  <autoFilter ref="A1:L2"/>
  <dataValidations count="1">
    <dataValidation sqref="H2:H2000" showDropDown="0" showInputMessage="0" showErrorMessage="0" allowBlank="1" type="list">
      <formula1>Lists!$A$2:$A$14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40" customWidth="1" min="3" max="3"/>
    <col width="24" customWidth="1" min="4" max="4"/>
    <col width="11" customWidth="1" min="5" max="5"/>
    <col width="11" customWidth="1" min="6" max="6"/>
    <col width="11" customWidth="1" min="7" max="7"/>
    <col width="16" customWidth="1" min="8" max="8"/>
    <col width="28" customWidth="1" min="9" max="9"/>
    <col width="11" customWidth="1" min="10" max="10"/>
    <col width="18" customWidth="1" min="11" max="11"/>
    <col width="10" customWidth="1" min="12" max="12"/>
    <col width="60" customWidth="1" min="13" max="13"/>
  </cols>
  <sheetData>
    <row r="1" ht="30" customHeight="1">
      <c r="A1" s="7" t="inlineStr">
        <is>
          <t>Date found</t>
        </is>
      </c>
      <c r="B1" s="7" t="inlineStr">
        <is>
          <t>Score</t>
        </is>
      </c>
      <c r="C1" s="7" t="inlineStr">
        <is>
          <t>Title</t>
        </is>
      </c>
      <c r="D1" s="7" t="inlineStr">
        <is>
          <t>Company</t>
        </is>
      </c>
      <c r="E1" s="7" t="inlineStr">
        <is>
          <t>Req ID</t>
        </is>
      </c>
      <c r="F1" s="7" t="inlineStr">
        <is>
          <t>Salary low</t>
        </is>
      </c>
      <c r="G1" s="7" t="inlineStr">
        <is>
          <t>Salary high</t>
        </is>
      </c>
      <c r="H1" s="7" t="inlineStr">
        <is>
          <t>Salary source</t>
        </is>
      </c>
      <c r="I1" s="7" t="inlineStr">
        <is>
          <t>Texas / remote eligibility</t>
        </is>
      </c>
      <c r="J1" s="7" t="inlineStr">
        <is>
          <t>Posted</t>
        </is>
      </c>
      <c r="K1" s="7" t="inlineStr">
        <is>
          <t>Status</t>
        </is>
      </c>
      <c r="L1" s="7" t="inlineStr">
        <is>
          <t>Days since posted</t>
        </is>
      </c>
      <c r="M1" s="7" t="inlineStr">
        <is>
          <t>Notes</t>
        </is>
      </c>
    </row>
  </sheetData>
  <autoFilter ref="A1:M10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10" customWidth="1" min="3" max="3"/>
  </cols>
  <sheetData>
    <row r="1" ht="30" customHeight="1">
      <c r="A1" s="7" t="inlineStr">
        <is>
          <t>Template</t>
        </is>
      </c>
      <c r="B1" s="7" t="inlineStr">
        <is>
          <t>Use when</t>
        </is>
      </c>
      <c r="C1" s="7" t="inlineStr">
        <is>
          <t>Text (edit the [brackets])</t>
        </is>
      </c>
    </row>
    <row r="2">
      <c r="A2" s="6" t="inlineStr">
        <is>
          <t>Remote-only decline</t>
        </is>
      </c>
      <c r="B2" s="6" t="inlineStr">
        <is>
          <t>Onsite or hybrid role.</t>
        </is>
      </c>
      <c r="C2" s="6" t="inlineStr">
        <is>
          <t>Hi [Name], thanks for thinking of me. I'm only considering fully remote roles right now, so I'll pass on this one. I focus on contracts, subcontracts and procurement at $85K+ (or $41+/hr W2), so please keep me in mind for remote roles in that space. Best, Damian</t>
        </is>
      </c>
    </row>
    <row r="3">
      <c r="A3" s="6" t="inlineStr">
        <is>
          <t>Clarify before engaging</t>
        </is>
      </c>
      <c r="B3" s="6" t="inlineStr">
        <is>
          <t>Role looks right but work model, pay or client is missing.</t>
        </is>
      </c>
      <c r="C3" s="6" t="inlineStr">
        <is>
          <t>Hi [Name], thanks for reaching out. The [Role] scope fits my background in contracts and subcontract administration. Before we go further, could you confirm: (1) is it 100% remote, (2) the pay rate/range and W2 vs C2C, (3) the end client, and (4) contract length? Happy to set up a call once I have those. Best, Damian</t>
        </is>
      </c>
    </row>
    <row r="4">
      <c r="A4" s="6" t="inlineStr">
        <is>
          <t>Yes - send resume / RTR</t>
        </is>
      </c>
      <c r="B4" s="6" t="inlineStr">
        <is>
          <t>Remote, $85K+, and not already submitted by another agency.</t>
        </is>
      </c>
      <c r="C4" s="6" t="inlineStr">
        <is>
          <t>Hi [Name], thanks. This fits well. Attached is my updated resume. I authorize [Agency] to represent me for [Role] at [Client] at [$rate]/hr W2. Please confirm I haven't already been submitted to this client for this req. Best, Damian</t>
        </is>
      </c>
    </row>
    <row r="5">
      <c r="A5" s="6" t="inlineStr">
        <is>
          <t>Status nudge (5 business days)</t>
        </is>
      </c>
      <c r="B5" s="6" t="inlineStr">
        <is>
          <t>Resume or RTR sent and no update.</t>
        </is>
      </c>
      <c r="C5" s="6" t="inlineStr">
        <is>
          <t>Hi [Name], checking in on [Role] at [Client]. Any update from the hiring team? I'm still very interested. Thanks, Damian</t>
        </is>
      </c>
    </row>
    <row r="6">
      <c r="A6" s="6" t="inlineStr">
        <is>
          <t>Post-interview nudge (day 7)</t>
        </is>
      </c>
      <c r="B6" s="6" t="inlineStr">
        <is>
          <t>Interviewed and no decision.</t>
        </is>
      </c>
      <c r="C6" s="6" t="inlineStr">
        <is>
          <t>Hi [Name], it's been about a week since my interview with [Client] for [Role]. Have they shared any feedback or timing? I enjoyed the conversation with [Interviewer] and remain very interested. Thanks, Damian</t>
        </is>
      </c>
    </row>
    <row r="7">
      <c r="A7" s="6" t="inlineStr">
        <is>
          <t>Rejected - keep the door open</t>
        </is>
      </c>
      <c r="B7" s="6" t="inlineStr">
        <is>
          <t>Recruiter tells you it's a no.</t>
        </is>
      </c>
      <c r="C7" s="6" t="inlineStr">
        <is>
          <t>Hi [Name], thanks for letting me know, and for the opportunity. I'd love to be considered for the next [contracts / LNG / energy] search you run. Still focused on remote contracts and procurement roles. Best, Damian</t>
        </is>
      </c>
    </row>
    <row r="8">
      <c r="A8" s="6" t="inlineStr">
        <is>
          <t>A-tier nurture (every 6 weeks)</t>
        </is>
      </c>
      <c r="B8" s="6" t="inlineStr">
        <is>
          <t>Next nurture date has arrived.</t>
        </is>
      </c>
      <c r="C8" s="6" t="inlineStr">
        <is>
          <t>Hi [Name], a quick update: I'm still open to remote Contracts / Subcontracts / Procurement roles, ideally $85K+ or $41+/hr W2. If anything comes across your desk, I'd appreciate a heads up. Hope things are going well. Damian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Stage</t>
        </is>
      </c>
      <c r="B1" s="5" t="inlineStr">
        <is>
          <t>Priority</t>
        </is>
      </c>
      <c r="C1" s="5" t="inlineStr">
        <is>
          <t>Tier</t>
        </is>
      </c>
      <c r="D1" s="5" t="inlineStr">
        <is>
          <t>Pay type</t>
        </is>
      </c>
      <c r="E1" s="5" t="inlineStr">
        <is>
          <t>Source</t>
        </is>
      </c>
    </row>
    <row r="2">
      <c r="A2" t="inlineStr">
        <is>
          <t>1 New - triage</t>
        </is>
      </c>
      <c r="B2" t="inlineStr">
        <is>
          <t>Hot</t>
        </is>
      </c>
      <c r="C2" t="inlineStr">
        <is>
          <t>A</t>
        </is>
      </c>
      <c r="D2" t="inlineStr">
        <is>
          <t>Hourly</t>
        </is>
      </c>
      <c r="E2" t="inlineStr">
        <is>
          <t>LinkedIn</t>
        </is>
      </c>
    </row>
    <row r="3">
      <c r="A3" t="inlineStr">
        <is>
          <t>2 Reply owed (me)</t>
        </is>
      </c>
      <c r="B3" t="inlineStr">
        <is>
          <t>Warm</t>
        </is>
      </c>
      <c r="C3" t="inlineStr">
        <is>
          <t>B</t>
        </is>
      </c>
      <c r="D3" t="inlineStr">
        <is>
          <t>Salary</t>
        </is>
      </c>
      <c r="E3" t="inlineStr">
        <is>
          <t>Email</t>
        </is>
      </c>
    </row>
    <row r="4">
      <c r="A4" t="inlineStr">
        <is>
          <t>3 Waiting on recruiter</t>
        </is>
      </c>
      <c r="B4" t="inlineStr">
        <is>
          <t>Cold</t>
        </is>
      </c>
      <c r="C4" t="inlineStr">
        <is>
          <t>C</t>
        </is>
      </c>
      <c r="D4" t="inlineStr">
        <is>
          <t>C2C/1099</t>
        </is>
      </c>
      <c r="E4" t="inlineStr">
        <is>
          <t>Job board</t>
        </is>
      </c>
    </row>
    <row r="5">
      <c r="A5" t="inlineStr">
        <is>
          <t>4 Submitted / RTR</t>
        </is>
      </c>
      <c r="C5" t="inlineStr">
        <is>
          <t>DNC</t>
        </is>
      </c>
      <c r="D5" t="inlineStr"/>
      <c r="E5" t="inlineStr">
        <is>
          <t>Referral</t>
        </is>
      </c>
    </row>
    <row r="6">
      <c r="A6" t="inlineStr">
        <is>
          <t>5 Interviewing</t>
        </is>
      </c>
      <c r="E6" t="inlineStr">
        <is>
          <t>Phone</t>
        </is>
      </c>
    </row>
    <row r="7">
      <c r="A7" t="inlineStr">
        <is>
          <t>6 Offer</t>
        </is>
      </c>
    </row>
    <row r="8">
      <c r="A8" t="inlineStr">
        <is>
          <t>7 Accepted</t>
        </is>
      </c>
    </row>
    <row r="9">
      <c r="A9" t="inlineStr">
        <is>
          <t>Nurture</t>
        </is>
      </c>
    </row>
    <row r="10">
      <c r="A10" t="inlineStr">
        <is>
          <t>Closed - I declined</t>
        </is>
      </c>
    </row>
    <row r="11">
      <c r="A11" t="inlineStr">
        <is>
          <t>Closed - Rejected</t>
        </is>
      </c>
    </row>
    <row r="12">
      <c r="A12" t="inlineStr">
        <is>
          <t>Closed - Went cold</t>
        </is>
      </c>
    </row>
    <row r="13">
      <c r="A13" t="inlineStr">
        <is>
          <t>Closed - Below floor/off-target</t>
        </is>
      </c>
    </row>
    <row r="14">
      <c r="A14" t="inlineStr">
        <is>
          <t>Spam / scam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2026-09-26T16:35:44Z</dcterms:created>
  <dcterms:modified xsi:type="dcterms:W3CDTF">2026-09-26T16:35:44Z</dcterms:modified>
</cp:coreProperties>
</file>